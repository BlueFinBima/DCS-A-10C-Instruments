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360" yWindow="135" windowWidth="18135" windowHeight="12030"/>
  </bookViews>
  <sheets>
    <sheet name="Keycode" sheetId="2" r:id="rId1"/>
    <sheet name="Board Mapping" sheetId="1" r:id="rId2"/>
    <sheet name="swBoard" sheetId="3" r:id="rId3"/>
    <sheet name="Toggle Switches" sheetId="5" r:id="rId4"/>
  </sheets>
  <functionGroups/>
  <definedNames>
    <definedName name="_xlnm._FilterDatabase" localSheetId="3" hidden="1">'Toggle Switches'!#REF!</definedName>
    <definedName name="_xlnm.Extract" localSheetId="3">'Toggle Switches'!$A$1</definedName>
  </definedNames>
  <calcPr calcId="125725"/>
</workbook>
</file>

<file path=xl/calcChain.xml><?xml version="1.0" encoding="utf-8"?>
<calcChain xmlns="http://schemas.openxmlformats.org/spreadsheetml/2006/main">
  <c r="C26" i="5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C1"/>
  <c r="E26"/>
  <c r="E25"/>
  <c r="E24"/>
  <c r="E23"/>
  <c r="E22"/>
  <c r="E21"/>
  <c r="E20"/>
  <c r="E19"/>
  <c r="E18"/>
  <c r="E17"/>
  <c r="E16"/>
  <c r="E15"/>
  <c r="E14"/>
  <c r="E12"/>
  <c r="E11"/>
  <c r="E10"/>
  <c r="E9"/>
  <c r="E8"/>
  <c r="E7"/>
  <c r="E6"/>
  <c r="E5"/>
  <c r="E4"/>
  <c r="E3"/>
  <c r="E2"/>
  <c r="E1"/>
  <c r="E13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</calcChain>
</file>

<file path=xl/sharedStrings.xml><?xml version="1.0" encoding="utf-8"?>
<sst xmlns="http://schemas.openxmlformats.org/spreadsheetml/2006/main" count="213" uniqueCount="190">
  <si>
    <t>Missile Warning System (MWS). Left mouse - ON/OFF, Right mouse - MENU (No Function)</t>
  </si>
  <si>
    <t>Electronic Countermeasure Jammer (JMR). Left mouse - ON/OFF, Right mouse - MENU (No Function)</t>
  </si>
  <si>
    <t>Radar Warning Receiver (RWR). Left mouse - ON/OFF, Right mouse - MENU</t>
  </si>
  <si>
    <t>Countermeasure Dispenser (DISP). Left mouse - ON/OFF, Right mouse - MENU</t>
  </si>
  <si>
    <t>Master CMS Mode Select</t>
  </si>
  <si>
    <t>Return</t>
  </si>
  <si>
    <t>Down</t>
  </si>
  <si>
    <t>Up</t>
  </si>
  <si>
    <t>Arrow</t>
  </si>
  <si>
    <t>Master Arm</t>
  </si>
  <si>
    <t>Gun Arm Mode</t>
  </si>
  <si>
    <t>Laser Arm</t>
  </si>
  <si>
    <t>TGP</t>
  </si>
  <si>
    <t>Alt Source</t>
  </si>
  <si>
    <t>HUD Day/Night</t>
  </si>
  <si>
    <t>HUD Normal</t>
  </si>
  <si>
    <t>CICU</t>
  </si>
  <si>
    <t>JTRS</t>
  </si>
  <si>
    <t>IFFCC</t>
  </si>
  <si>
    <t>Stabil augmentation</t>
  </si>
  <si>
    <t>Battery</t>
  </si>
  <si>
    <t>Flood</t>
  </si>
  <si>
    <t>Inverter</t>
  </si>
  <si>
    <t>R Gen</t>
  </si>
  <si>
    <t>APU Gen</t>
  </si>
  <si>
    <t>L Gen</t>
  </si>
  <si>
    <t>Anti Skid</t>
  </si>
  <si>
    <t>Jettison</t>
  </si>
  <si>
    <t>Unused</t>
  </si>
  <si>
    <t>UFC-DATA-DN</t>
  </si>
  <si>
    <t>UFC-DATA-UP</t>
  </si>
  <si>
    <t>UFC-SEL-UP</t>
  </si>
  <si>
    <t>UFC-SEL-DN</t>
  </si>
  <si>
    <t>UFC-DEPR-UP</t>
  </si>
  <si>
    <t>UFC-DEPR-DN</t>
  </si>
  <si>
    <t>UFC-INTEN-RGT</t>
  </si>
  <si>
    <t>UFC-INTEN-LFT</t>
  </si>
  <si>
    <t>UFC-1</t>
  </si>
  <si>
    <t>UFC-2</t>
  </si>
  <si>
    <t>UFC-3</t>
  </si>
  <si>
    <t>UFC-4</t>
  </si>
  <si>
    <t>UFC-5</t>
  </si>
  <si>
    <t>UFC-6</t>
  </si>
  <si>
    <t>UFC-7</t>
  </si>
  <si>
    <t>UFC-8</t>
  </si>
  <si>
    <t>UFC-9</t>
  </si>
  <si>
    <t>UFC-HACK</t>
  </si>
  <si>
    <t>UFC-0</t>
  </si>
  <si>
    <t>UFC-SPC</t>
  </si>
  <si>
    <t>UFC-FUNC</t>
  </si>
  <si>
    <t>UFC-LTR</t>
  </si>
  <si>
    <t>UFC-CLR</t>
  </si>
  <si>
    <t>UFC-ENT</t>
  </si>
  <si>
    <t>UFC-MK</t>
  </si>
  <si>
    <t>UFC-ALT</t>
  </si>
  <si>
    <t>Master Caution</t>
  </si>
  <si>
    <t>UFC-FWD</t>
  </si>
  <si>
    <t>ADD-4</t>
  </si>
  <si>
    <t>UFC-MID</t>
  </si>
  <si>
    <t>ADD-5</t>
  </si>
  <si>
    <t>UFC-AFT</t>
  </si>
  <si>
    <t>ADD-6</t>
  </si>
  <si>
    <t>STEER-UP</t>
  </si>
  <si>
    <t>STEER-DN</t>
  </si>
  <si>
    <r>
      <t xml:space="preserve">arg_value = </t>
    </r>
    <r>
      <rPr>
        <sz val="10"/>
        <color rgb="FF800000"/>
        <rFont val="Arial Unicode MS"/>
        <family val="2"/>
      </rPr>
      <t>{</t>
    </r>
    <r>
      <rPr>
        <sz val="10"/>
        <color rgb="FF000080"/>
        <rFont val="Arial Unicode MS"/>
        <family val="2"/>
      </rPr>
      <t>0.1</t>
    </r>
    <r>
      <rPr>
        <sz val="10"/>
        <color rgb="FF000000"/>
        <rFont val="Arial Unicode MS"/>
        <family val="2"/>
      </rPr>
      <t>,-</t>
    </r>
    <r>
      <rPr>
        <sz val="10"/>
        <color rgb="FF000080"/>
        <rFont val="Arial Unicode MS"/>
        <family val="2"/>
      </rPr>
      <t>0.1</t>
    </r>
    <r>
      <rPr>
        <sz val="10"/>
        <color rgb="FF800000"/>
        <rFont val="Arial Unicode MS"/>
        <family val="2"/>
      </rPr>
      <t>}</t>
    </r>
    <r>
      <rPr>
        <sz val="10"/>
        <color rgb="FF000000"/>
        <rFont val="Arial Unicode MS"/>
        <family val="2"/>
      </rPr>
      <t xml:space="preserve">, arg_lim = </t>
    </r>
    <r>
      <rPr>
        <sz val="10"/>
        <color rgb="FF800000"/>
        <rFont val="Arial Unicode MS"/>
        <family val="2"/>
      </rPr>
      <t>{{</t>
    </r>
    <r>
      <rPr>
        <sz val="10"/>
        <color rgb="FF000080"/>
        <rFont val="Arial Unicode MS"/>
        <family val="2"/>
      </rPr>
      <t>0.0</t>
    </r>
    <r>
      <rPr>
        <sz val="10"/>
        <color rgb="FF000000"/>
        <rFont val="Arial Unicode MS"/>
        <family val="2"/>
      </rPr>
      <t xml:space="preserve">, </t>
    </r>
    <r>
      <rPr>
        <sz val="10"/>
        <color rgb="FF000080"/>
        <rFont val="Arial Unicode MS"/>
        <family val="2"/>
      </rPr>
      <t>0.2</t>
    </r>
    <r>
      <rPr>
        <sz val="10"/>
        <color rgb="FF800000"/>
        <rFont val="Arial Unicode MS"/>
        <family val="2"/>
      </rPr>
      <t>}</t>
    </r>
    <r>
      <rPr>
        <sz val="10"/>
        <color rgb="FF000000"/>
        <rFont val="Arial Unicode MS"/>
        <family val="2"/>
      </rPr>
      <t>,</t>
    </r>
    <r>
      <rPr>
        <sz val="10"/>
        <color rgb="FF800000"/>
        <rFont val="Arial Unicode MS"/>
        <family val="2"/>
      </rPr>
      <t>{</t>
    </r>
    <r>
      <rPr>
        <sz val="10"/>
        <color rgb="FF000080"/>
        <rFont val="Arial Unicode MS"/>
        <family val="2"/>
      </rPr>
      <t>0.0</t>
    </r>
    <r>
      <rPr>
        <sz val="10"/>
        <color rgb="FF000000"/>
        <rFont val="Arial Unicode MS"/>
        <family val="2"/>
      </rPr>
      <t xml:space="preserve">, </t>
    </r>
    <r>
      <rPr>
        <sz val="10"/>
        <color rgb="FF000080"/>
        <rFont val="Arial Unicode MS"/>
        <family val="2"/>
      </rPr>
      <t>0.2</t>
    </r>
    <r>
      <rPr>
        <sz val="10"/>
        <color rgb="FF800000"/>
        <rFont val="Arial Unicode MS"/>
        <family val="2"/>
      </rPr>
      <t>}</t>
    </r>
  </si>
  <si>
    <r>
      <t xml:space="preserve">arg_value = </t>
    </r>
    <r>
      <rPr>
        <sz val="10"/>
        <color rgb="FF800000"/>
        <rFont val="Arial Unicode MS"/>
        <family val="2"/>
      </rPr>
      <t>{</t>
    </r>
    <r>
      <rPr>
        <sz val="10"/>
        <color rgb="FF000080"/>
        <rFont val="Arial Unicode MS"/>
        <family val="2"/>
      </rPr>
      <t>1.0</t>
    </r>
    <r>
      <rPr>
        <sz val="10"/>
        <color rgb="FF000000"/>
        <rFont val="Arial Unicode MS"/>
        <family val="2"/>
      </rPr>
      <t>,-</t>
    </r>
    <r>
      <rPr>
        <sz val="10"/>
        <color rgb="FF000080"/>
        <rFont val="Arial Unicode MS"/>
        <family val="2"/>
      </rPr>
      <t>1.0</t>
    </r>
    <r>
      <rPr>
        <sz val="10"/>
        <color rgb="FF800000"/>
        <rFont val="Arial Unicode MS"/>
        <family val="2"/>
      </rPr>
      <t>}</t>
    </r>
    <r>
      <rPr>
        <sz val="10"/>
        <color rgb="FF000000"/>
        <rFont val="Arial Unicode MS"/>
        <family val="2"/>
      </rPr>
      <t xml:space="preserve">, arg_lim = </t>
    </r>
    <r>
      <rPr>
        <sz val="10"/>
        <color rgb="FF800000"/>
        <rFont val="Arial Unicode MS"/>
        <family val="2"/>
      </rPr>
      <t>{{</t>
    </r>
    <r>
      <rPr>
        <sz val="10"/>
        <color rgb="FF000080"/>
        <rFont val="Arial Unicode MS"/>
        <family val="2"/>
      </rPr>
      <t>0.0</t>
    </r>
    <r>
      <rPr>
        <sz val="10"/>
        <color rgb="FF000000"/>
        <rFont val="Arial Unicode MS"/>
        <family val="2"/>
      </rPr>
      <t xml:space="preserve">, </t>
    </r>
    <r>
      <rPr>
        <sz val="10"/>
        <color rgb="FF000080"/>
        <rFont val="Arial Unicode MS"/>
        <family val="2"/>
      </rPr>
      <t>1.0</t>
    </r>
    <r>
      <rPr>
        <sz val="10"/>
        <color rgb="FF800000"/>
        <rFont val="Arial Unicode MS"/>
        <family val="2"/>
      </rPr>
      <t>}</t>
    </r>
    <r>
      <rPr>
        <sz val="10"/>
        <color rgb="FF000000"/>
        <rFont val="Arial Unicode MS"/>
        <family val="2"/>
      </rPr>
      <t>,</t>
    </r>
    <r>
      <rPr>
        <sz val="10"/>
        <color rgb="FF800000"/>
        <rFont val="Arial Unicode MS"/>
        <family val="2"/>
      </rPr>
      <t>{</t>
    </r>
    <r>
      <rPr>
        <sz val="10"/>
        <color rgb="FF000080"/>
        <rFont val="Arial Unicode MS"/>
        <family val="2"/>
      </rPr>
      <t>0.0</t>
    </r>
    <r>
      <rPr>
        <sz val="10"/>
        <color rgb="FF000000"/>
        <rFont val="Arial Unicode MS"/>
        <family val="2"/>
      </rPr>
      <t xml:space="preserve">, </t>
    </r>
    <r>
      <rPr>
        <sz val="10"/>
        <color rgb="FF000080"/>
        <rFont val="Arial Unicode MS"/>
        <family val="2"/>
      </rPr>
      <t>1.0</t>
    </r>
    <r>
      <rPr>
        <sz val="10"/>
        <color rgb="FF800000"/>
        <rFont val="Arial Unicode MS"/>
        <family val="2"/>
      </rPr>
      <t>}</t>
    </r>
  </si>
  <si>
    <t>Land Taxi Lights</t>
  </si>
  <si>
    <t>Electrically Held Switch</t>
  </si>
  <si>
    <t>Tumb arg_value = {1.0}, arg_lim = {{0.0, 1.0}}</t>
  </si>
  <si>
    <t>Set Takeoff Trim</t>
  </si>
  <si>
    <t>PTR-NMSP-HARS</t>
  </si>
  <si>
    <t>PTR-NMSP-EGI</t>
  </si>
  <si>
    <t>PTR-NMSP-TISL</t>
  </si>
  <si>
    <t>PTR-NMSP-STARTPT</t>
  </si>
  <si>
    <t>PTR-NMSP-ANCHR</t>
  </si>
  <si>
    <t>PTR-NMSP-TCN</t>
  </si>
  <si>
    <t>PTR-NMSP-ILS</t>
  </si>
  <si>
    <t>PTR-NMSP-ABLE-STOW</t>
  </si>
  <si>
    <t>Pump -  Wing - L</t>
  </si>
  <si>
    <t>Pump -  Wing - R</t>
  </si>
  <si>
    <t>Pump -  Main - L</t>
  </si>
  <si>
    <t>Pump -  Main - R</t>
  </si>
  <si>
    <t>Gear</t>
  </si>
  <si>
    <t>CMSC-RWR-JMR</t>
  </si>
  <si>
    <t>CMSC-RWR-MWS</t>
  </si>
  <si>
    <t>CMSC-RWR-PRI</t>
  </si>
  <si>
    <t>CMSC-RWR-SEP</t>
  </si>
  <si>
    <t>CMSC-RWR-UNK</t>
  </si>
  <si>
    <t>Eng-??</t>
  </si>
  <si>
    <t>x34</t>
  </si>
  <si>
    <t>x18</t>
  </si>
  <si>
    <t>x02</t>
  </si>
  <si>
    <t>x35</t>
  </si>
  <si>
    <t>x19</t>
  </si>
  <si>
    <t>x03</t>
  </si>
  <si>
    <t>x36</t>
  </si>
  <si>
    <t>x37</t>
  </si>
  <si>
    <t>x20</t>
  </si>
  <si>
    <t>x21</t>
  </si>
  <si>
    <t>x04</t>
  </si>
  <si>
    <t>x05</t>
  </si>
  <si>
    <t>x38</t>
  </si>
  <si>
    <t>x39</t>
  </si>
  <si>
    <t>x40</t>
  </si>
  <si>
    <t>x41</t>
  </si>
  <si>
    <t>x42</t>
  </si>
  <si>
    <t>x43</t>
  </si>
  <si>
    <t>x44</t>
  </si>
  <si>
    <t>x45</t>
  </si>
  <si>
    <t>x22</t>
  </si>
  <si>
    <t>x23</t>
  </si>
  <si>
    <t>x24</t>
  </si>
  <si>
    <t>x25</t>
  </si>
  <si>
    <t>x26</t>
  </si>
  <si>
    <t>x27</t>
  </si>
  <si>
    <t>x28</t>
  </si>
  <si>
    <t>x29</t>
  </si>
  <si>
    <t>x06</t>
  </si>
  <si>
    <t>x07</t>
  </si>
  <si>
    <t>x08</t>
  </si>
  <si>
    <t>x09</t>
  </si>
  <si>
    <t>x10</t>
  </si>
  <si>
    <t>x11</t>
  </si>
  <si>
    <t>x12</t>
  </si>
  <si>
    <t>x13</t>
  </si>
  <si>
    <t>x33</t>
  </si>
  <si>
    <t>x17</t>
  </si>
  <si>
    <t>x01</t>
  </si>
  <si>
    <t>CMSP (DISP)</t>
  </si>
  <si>
    <t>Landing Gear</t>
  </si>
  <si>
    <t>NMSP ABLE/STOW</t>
  </si>
  <si>
    <t>CMSP (RWR)</t>
  </si>
  <si>
    <t>CMSP (JMR)</t>
  </si>
  <si>
    <t>CMSP (MWS)</t>
  </si>
  <si>
    <t>CMSP Master Mode Select</t>
  </si>
  <si>
    <t>CMSP Jettison</t>
  </si>
  <si>
    <t>AHCP Master Arm</t>
  </si>
  <si>
    <t>AHCP Gun Arm Mode</t>
  </si>
  <si>
    <t>AHCP Laser Arm</t>
  </si>
  <si>
    <t>AHCP TGP</t>
  </si>
  <si>
    <t>AHCP Alt Source</t>
  </si>
  <si>
    <t>AHCP HUD Day/Night</t>
  </si>
  <si>
    <t>AHCP HUD Normal</t>
  </si>
  <si>
    <t>AHCP CICU</t>
  </si>
  <si>
    <t>AHCP JTRS</t>
  </si>
  <si>
    <t>AHCP IFFCC</t>
  </si>
  <si>
    <t>Elec Flood</t>
  </si>
  <si>
    <t>Elec Battery</t>
  </si>
  <si>
    <t>Elec Inverter</t>
  </si>
  <si>
    <t>Elec R Gen</t>
  </si>
  <si>
    <t>Elec APU Gen</t>
  </si>
  <si>
    <t>Elec L Gen</t>
  </si>
  <si>
    <t xml:space="preserve">		case "241":			 //Elec APU Gen</t>
  </si>
  <si>
    <t xml:space="preserve">		case "242":			 //Elec Inverter</t>
  </si>
  <si>
    <t xml:space="preserve">		case "243":			 //Elec Flood</t>
  </si>
  <si>
    <t xml:space="preserve">		case "244":			 //Elec L Gen</t>
  </si>
  <si>
    <t xml:space="preserve">		case "245":			 //Elec R Gen</t>
  </si>
  <si>
    <t xml:space="preserve">		case "246":			 //Elec Battery</t>
  </si>
  <si>
    <t xml:space="preserve">		case "358":			 //CMSP Jettison</t>
  </si>
  <si>
    <t xml:space="preserve">		case "360":			 //CMSP (MWS)</t>
  </si>
  <si>
    <t xml:space="preserve">		case "361":			 //CMSP (JMR)</t>
  </si>
  <si>
    <t xml:space="preserve">		case "362":			 //CMSP (RWR)</t>
  </si>
  <si>
    <t xml:space="preserve">		case "363":			 //CMSP (DISP)</t>
  </si>
  <si>
    <t xml:space="preserve">		case "364":			 //CMSP Master Mode Select</t>
  </si>
  <si>
    <t xml:space="preserve">		case "375":			 //AHCP Master Arm</t>
  </si>
  <si>
    <t xml:space="preserve">		case "376":			 //AHCP Gun Arm Mode</t>
  </si>
  <si>
    <t xml:space="preserve">		case "377":			 //AHCP Laser Arm</t>
  </si>
  <si>
    <t xml:space="preserve">		case "378":			 //AHCP TGP</t>
  </si>
  <si>
    <t xml:space="preserve">		case "379":			 //AHCP Alt Source</t>
  </si>
  <si>
    <t xml:space="preserve">		case "380":			 //AHCP HUD Day/Night</t>
  </si>
  <si>
    <t xml:space="preserve">		case "381":			 //AHCP HUD Normal</t>
  </si>
  <si>
    <t xml:space="preserve">		case "382":			 //AHCP CICU</t>
  </si>
  <si>
    <t xml:space="preserve">		case "383":			 //AHCP JTRS</t>
  </si>
  <si>
    <t xml:space="preserve">		case "384":			 //AHCP IFFCC</t>
  </si>
  <si>
    <t xml:space="preserve">		case "621":			 //NMSP ABLE/STOW</t>
  </si>
  <si>
    <t xml:space="preserve">		case "654":			 //Anti Skid</t>
  </si>
  <si>
    <t xml:space="preserve">		case "655":			 //Land Taxi Lights</t>
  </si>
  <si>
    <t xml:space="preserve">		case "716":			 //Landing Gear</t>
  </si>
  <si>
    <t>Code for the real switch</t>
  </si>
  <si>
    <t>DCS Device number</t>
  </si>
  <si>
    <t>Type of action</t>
  </si>
  <si>
    <t>DCS switch number</t>
  </si>
  <si>
    <t>Not 100% sure1</t>
  </si>
  <si>
    <t>CMSC_BRT to HSI Crs Setting</t>
  </si>
  <si>
    <t>CMSC_AUD to Alt pressure adjust</t>
  </si>
  <si>
    <t>ENC_ILS0</t>
  </si>
  <si>
    <t>ENC_ILS0s</t>
  </si>
  <si>
    <t>ENC_ILS1</t>
  </si>
  <si>
    <t>ENC_ILS1s</t>
  </si>
  <si>
    <t>ENC_TACAN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</si>
</sst>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0"/>
      <color rgb="FF008080"/>
      <name val="Arial Unicode MS"/>
      <family val="2"/>
    </font>
    <font>
      <sz val="10"/>
      <color rgb="FF000000"/>
      <name val="Arial Unicode MS"/>
      <family val="2"/>
    </font>
    <font>
      <sz val="10"/>
      <color rgb="FF800000"/>
      <name val="Arial Unicode MS"/>
      <family val="2"/>
    </font>
    <font>
      <sz val="10"/>
      <color rgb="FF00008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K113"/>
  <sheetViews>
    <sheetView tabSelected="1" topLeftCell="A91" workbookViewId="0">
      <selection activeCell="B112" sqref="B112"/>
    </sheetView>
  </sheetViews>
  <sheetFormatPr defaultRowHeight="15"/>
  <sheetData>
    <row r="1" spans="1:10">
      <c r="A1" s="4" t="s">
        <v>178</v>
      </c>
      <c r="B1" s="4" t="s">
        <v>181</v>
      </c>
      <c r="C1" s="4" t="s">
        <v>180</v>
      </c>
      <c r="D1" s="4" t="s">
        <v>179</v>
      </c>
      <c r="E1" s="4" t="s">
        <v>182</v>
      </c>
    </row>
    <row r="2" spans="1:10">
      <c r="A2">
        <v>801</v>
      </c>
      <c r="B2">
        <v>28</v>
      </c>
      <c r="C2">
        <v>1</v>
      </c>
      <c r="D2">
        <v>38</v>
      </c>
      <c r="E2">
        <v>654</v>
      </c>
      <c r="F2" t="s">
        <v>26</v>
      </c>
      <c r="J2" t="s">
        <v>67</v>
      </c>
    </row>
    <row r="3" spans="1:10" ht="15.75">
      <c r="A3">
        <v>802</v>
      </c>
      <c r="B3">
        <v>14</v>
      </c>
      <c r="C3">
        <v>12</v>
      </c>
      <c r="D3">
        <v>49</v>
      </c>
      <c r="E3">
        <v>655</v>
      </c>
      <c r="F3" s="1" t="s">
        <v>66</v>
      </c>
      <c r="J3" s="2" t="s">
        <v>64</v>
      </c>
    </row>
    <row r="4" spans="1:10">
      <c r="A4">
        <v>803</v>
      </c>
      <c r="B4">
        <v>14</v>
      </c>
      <c r="C4">
        <v>10</v>
      </c>
      <c r="D4">
        <v>49</v>
      </c>
      <c r="E4">
        <v>655</v>
      </c>
    </row>
    <row r="5" spans="1:10">
      <c r="A5">
        <v>396</v>
      </c>
      <c r="B5">
        <v>3</v>
      </c>
      <c r="C5">
        <v>1</v>
      </c>
      <c r="D5">
        <v>38</v>
      </c>
      <c r="E5">
        <v>0</v>
      </c>
      <c r="F5" t="s">
        <v>19</v>
      </c>
      <c r="J5" t="s">
        <v>67</v>
      </c>
    </row>
    <row r="6" spans="1:10">
      <c r="A6">
        <v>397</v>
      </c>
      <c r="B6">
        <v>5</v>
      </c>
      <c r="C6">
        <v>1</v>
      </c>
      <c r="D6">
        <v>38</v>
      </c>
      <c r="E6">
        <v>0</v>
      </c>
      <c r="J6" t="s">
        <v>67</v>
      </c>
    </row>
    <row r="7" spans="1:10">
      <c r="A7">
        <v>398</v>
      </c>
      <c r="B7">
        <v>7</v>
      </c>
      <c r="C7">
        <v>1</v>
      </c>
      <c r="D7">
        <v>38</v>
      </c>
      <c r="E7">
        <v>0</v>
      </c>
      <c r="J7" t="s">
        <v>67</v>
      </c>
    </row>
    <row r="8" spans="1:10">
      <c r="A8">
        <v>399</v>
      </c>
      <c r="B8">
        <v>9</v>
      </c>
      <c r="C8">
        <v>1</v>
      </c>
      <c r="D8">
        <v>38</v>
      </c>
      <c r="E8">
        <v>0</v>
      </c>
      <c r="J8" t="s">
        <v>67</v>
      </c>
    </row>
    <row r="9" spans="1:10" ht="15.75">
      <c r="A9">
        <v>335</v>
      </c>
      <c r="B9">
        <v>1</v>
      </c>
      <c r="C9">
        <v>12</v>
      </c>
      <c r="D9">
        <v>7</v>
      </c>
      <c r="E9">
        <v>375</v>
      </c>
      <c r="F9" t="s">
        <v>9</v>
      </c>
      <c r="J9" s="2" t="s">
        <v>64</v>
      </c>
    </row>
    <row r="10" spans="1:10">
      <c r="A10">
        <v>334</v>
      </c>
      <c r="B10">
        <v>1</v>
      </c>
      <c r="C10">
        <v>10</v>
      </c>
      <c r="D10">
        <v>7</v>
      </c>
      <c r="E10">
        <v>375</v>
      </c>
    </row>
    <row r="11" spans="1:10" ht="15.75">
      <c r="A11">
        <v>319</v>
      </c>
      <c r="B11">
        <v>2</v>
      </c>
      <c r="C11">
        <v>12</v>
      </c>
      <c r="D11">
        <v>7</v>
      </c>
      <c r="E11">
        <v>376</v>
      </c>
      <c r="F11" t="s">
        <v>10</v>
      </c>
      <c r="J11" s="2" t="s">
        <v>64</v>
      </c>
    </row>
    <row r="12" spans="1:10">
      <c r="A12">
        <v>318</v>
      </c>
      <c r="B12">
        <v>2</v>
      </c>
      <c r="C12">
        <v>10</v>
      </c>
      <c r="D12">
        <v>7</v>
      </c>
      <c r="E12">
        <v>376</v>
      </c>
    </row>
    <row r="13" spans="1:10" ht="15.75">
      <c r="A13">
        <v>336</v>
      </c>
      <c r="B13">
        <v>3</v>
      </c>
      <c r="C13">
        <v>12</v>
      </c>
      <c r="D13">
        <v>7</v>
      </c>
      <c r="E13">
        <v>377</v>
      </c>
      <c r="F13" t="s">
        <v>11</v>
      </c>
      <c r="J13" s="2" t="s">
        <v>64</v>
      </c>
    </row>
    <row r="14" spans="1:10">
      <c r="A14">
        <v>337</v>
      </c>
      <c r="B14">
        <v>3</v>
      </c>
      <c r="C14">
        <v>10</v>
      </c>
      <c r="D14">
        <v>7</v>
      </c>
      <c r="E14">
        <v>377</v>
      </c>
    </row>
    <row r="15" spans="1:10" ht="15.75">
      <c r="A15">
        <v>320</v>
      </c>
      <c r="B15">
        <v>4</v>
      </c>
      <c r="C15">
        <v>1</v>
      </c>
      <c r="D15">
        <v>7</v>
      </c>
      <c r="E15">
        <v>378</v>
      </c>
      <c r="F15" t="s">
        <v>12</v>
      </c>
      <c r="J15" s="2" t="s">
        <v>65</v>
      </c>
    </row>
    <row r="16" spans="1:10" ht="15.75">
      <c r="A16">
        <v>339</v>
      </c>
      <c r="B16">
        <v>5</v>
      </c>
      <c r="C16">
        <v>12</v>
      </c>
      <c r="D16">
        <v>7</v>
      </c>
      <c r="E16">
        <v>379</v>
      </c>
      <c r="F16" t="s">
        <v>13</v>
      </c>
      <c r="J16" s="2" t="s">
        <v>64</v>
      </c>
    </row>
    <row r="17" spans="1:10" ht="15.75">
      <c r="A17">
        <v>338</v>
      </c>
      <c r="B17">
        <v>5</v>
      </c>
      <c r="C17">
        <v>10</v>
      </c>
      <c r="D17">
        <v>7</v>
      </c>
      <c r="E17">
        <v>379</v>
      </c>
      <c r="J17" s="2"/>
    </row>
    <row r="18" spans="1:10" ht="15.75">
      <c r="A18">
        <v>322</v>
      </c>
      <c r="B18">
        <v>6</v>
      </c>
      <c r="C18">
        <v>1</v>
      </c>
      <c r="D18">
        <v>7</v>
      </c>
      <c r="E18">
        <v>380</v>
      </c>
      <c r="F18" t="s">
        <v>14</v>
      </c>
      <c r="J18" s="2" t="s">
        <v>65</v>
      </c>
    </row>
    <row r="19" spans="1:10" ht="15.75">
      <c r="A19">
        <v>306</v>
      </c>
      <c r="B19">
        <v>7</v>
      </c>
      <c r="C19">
        <v>1</v>
      </c>
      <c r="D19">
        <v>7</v>
      </c>
      <c r="E19">
        <v>381</v>
      </c>
      <c r="F19" t="s">
        <v>15</v>
      </c>
      <c r="J19" s="2" t="s">
        <v>65</v>
      </c>
    </row>
    <row r="20" spans="1:10" ht="15.75">
      <c r="A20">
        <v>340</v>
      </c>
      <c r="B20">
        <v>8</v>
      </c>
      <c r="C20">
        <v>1</v>
      </c>
      <c r="D20">
        <v>7</v>
      </c>
      <c r="E20">
        <v>382</v>
      </c>
      <c r="F20" t="s">
        <v>16</v>
      </c>
      <c r="J20" s="2" t="s">
        <v>65</v>
      </c>
    </row>
    <row r="21" spans="1:10" ht="15.75">
      <c r="A21">
        <v>324</v>
      </c>
      <c r="B21">
        <v>9</v>
      </c>
      <c r="C21">
        <v>1</v>
      </c>
      <c r="D21">
        <v>7</v>
      </c>
      <c r="E21">
        <v>383</v>
      </c>
      <c r="F21" t="s">
        <v>17</v>
      </c>
      <c r="J21" s="2" t="s">
        <v>65</v>
      </c>
    </row>
    <row r="22" spans="1:10" ht="15.75">
      <c r="A22">
        <v>309</v>
      </c>
      <c r="B22">
        <v>10</v>
      </c>
      <c r="C22">
        <v>12</v>
      </c>
      <c r="D22">
        <v>7</v>
      </c>
      <c r="E22">
        <v>384</v>
      </c>
      <c r="F22" t="s">
        <v>18</v>
      </c>
      <c r="J22" s="2" t="s">
        <v>64</v>
      </c>
    </row>
    <row r="23" spans="1:10">
      <c r="A23">
        <v>308</v>
      </c>
      <c r="B23">
        <v>10</v>
      </c>
      <c r="C23">
        <v>10</v>
      </c>
      <c r="D23">
        <v>7</v>
      </c>
      <c r="E23">
        <v>384</v>
      </c>
      <c r="F23" t="s">
        <v>18</v>
      </c>
    </row>
    <row r="24" spans="1:10">
      <c r="A24">
        <v>324</v>
      </c>
      <c r="B24">
        <v>12</v>
      </c>
      <c r="C24">
        <v>1</v>
      </c>
      <c r="D24">
        <v>38</v>
      </c>
      <c r="E24">
        <v>0</v>
      </c>
      <c r="F24" t="s">
        <v>69</v>
      </c>
    </row>
    <row r="25" spans="1:10">
      <c r="A25">
        <v>406</v>
      </c>
      <c r="B25">
        <v>7</v>
      </c>
      <c r="C25">
        <v>1</v>
      </c>
      <c r="D25">
        <v>49</v>
      </c>
      <c r="E25">
        <v>243</v>
      </c>
      <c r="F25" t="s">
        <v>21</v>
      </c>
    </row>
    <row r="26" spans="1:10">
      <c r="A26">
        <v>401</v>
      </c>
      <c r="B26">
        <v>6</v>
      </c>
      <c r="C26">
        <v>1</v>
      </c>
      <c r="D26">
        <v>1</v>
      </c>
      <c r="E26">
        <v>246</v>
      </c>
      <c r="F26" t="s">
        <v>20</v>
      </c>
    </row>
    <row r="27" spans="1:10">
      <c r="A27">
        <v>404</v>
      </c>
      <c r="B27">
        <v>2</v>
      </c>
      <c r="C27">
        <v>1</v>
      </c>
      <c r="D27">
        <v>1</v>
      </c>
      <c r="E27">
        <v>242</v>
      </c>
      <c r="F27" t="s">
        <v>22</v>
      </c>
    </row>
    <row r="28" spans="1:10">
      <c r="A28">
        <v>402</v>
      </c>
      <c r="B28">
        <v>5</v>
      </c>
      <c r="C28">
        <v>1</v>
      </c>
      <c r="D28">
        <v>1</v>
      </c>
      <c r="E28">
        <v>245</v>
      </c>
      <c r="F28" t="s">
        <v>23</v>
      </c>
    </row>
    <row r="29" spans="1:10">
      <c r="A29">
        <v>403</v>
      </c>
      <c r="B29">
        <v>1</v>
      </c>
      <c r="C29">
        <v>1</v>
      </c>
      <c r="D29">
        <v>1</v>
      </c>
      <c r="E29">
        <v>241</v>
      </c>
      <c r="F29" t="s">
        <v>24</v>
      </c>
    </row>
    <row r="30" spans="1:10">
      <c r="A30">
        <v>405</v>
      </c>
      <c r="B30">
        <v>4</v>
      </c>
      <c r="C30">
        <v>1</v>
      </c>
      <c r="D30">
        <v>1</v>
      </c>
      <c r="E30">
        <v>244</v>
      </c>
      <c r="F30" t="s">
        <v>25</v>
      </c>
    </row>
    <row r="31" spans="1:10" ht="15.75">
      <c r="A31">
        <v>421</v>
      </c>
      <c r="B31">
        <v>18</v>
      </c>
      <c r="C31">
        <v>44</v>
      </c>
      <c r="D31">
        <v>4</v>
      </c>
      <c r="E31">
        <v>364</v>
      </c>
      <c r="F31" s="1" t="s">
        <v>4</v>
      </c>
    </row>
    <row r="32" spans="1:10" ht="15.75">
      <c r="A32">
        <v>420</v>
      </c>
      <c r="B32">
        <v>18</v>
      </c>
      <c r="C32">
        <v>43</v>
      </c>
      <c r="D32">
        <v>4</v>
      </c>
      <c r="E32">
        <v>364</v>
      </c>
      <c r="F32" s="1" t="s">
        <v>4</v>
      </c>
    </row>
    <row r="33" spans="1:11" ht="15.75">
      <c r="A33">
        <v>419</v>
      </c>
      <c r="B33">
        <v>18</v>
      </c>
      <c r="C33">
        <v>42</v>
      </c>
      <c r="D33">
        <v>4</v>
      </c>
      <c r="E33">
        <v>364</v>
      </c>
      <c r="F33" s="1" t="s">
        <v>4</v>
      </c>
    </row>
    <row r="34" spans="1:11" ht="15.75">
      <c r="A34">
        <v>418</v>
      </c>
      <c r="B34">
        <v>18</v>
      </c>
      <c r="C34">
        <v>41</v>
      </c>
      <c r="D34">
        <v>4</v>
      </c>
      <c r="E34">
        <v>364</v>
      </c>
      <c r="F34" s="1" t="s">
        <v>4</v>
      </c>
    </row>
    <row r="35" spans="1:11" ht="15.75">
      <c r="A35">
        <v>417</v>
      </c>
      <c r="B35">
        <v>18</v>
      </c>
      <c r="C35">
        <v>40</v>
      </c>
      <c r="D35">
        <v>4</v>
      </c>
      <c r="E35">
        <v>364</v>
      </c>
      <c r="F35" s="1" t="s">
        <v>4</v>
      </c>
    </row>
    <row r="36" spans="1:11" ht="15.75">
      <c r="A36">
        <v>442</v>
      </c>
      <c r="B36">
        <v>1</v>
      </c>
      <c r="C36">
        <v>1</v>
      </c>
      <c r="D36">
        <v>4</v>
      </c>
      <c r="E36">
        <v>0</v>
      </c>
      <c r="F36" s="1" t="s">
        <v>8</v>
      </c>
    </row>
    <row r="37" spans="1:11" ht="15.75">
      <c r="A37">
        <v>443</v>
      </c>
      <c r="B37">
        <v>2</v>
      </c>
      <c r="C37">
        <v>1</v>
      </c>
      <c r="D37">
        <v>4</v>
      </c>
      <c r="E37">
        <v>0</v>
      </c>
      <c r="F37" s="1" t="s">
        <v>8</v>
      </c>
    </row>
    <row r="38" spans="1:11" ht="15.75">
      <c r="A38">
        <v>440</v>
      </c>
      <c r="B38">
        <v>3</v>
      </c>
      <c r="C38">
        <v>1</v>
      </c>
      <c r="D38">
        <v>4</v>
      </c>
      <c r="E38">
        <v>0</v>
      </c>
      <c r="F38" s="1" t="s">
        <v>8</v>
      </c>
    </row>
    <row r="39" spans="1:11" ht="15.75">
      <c r="A39">
        <v>444</v>
      </c>
      <c r="B39">
        <v>4</v>
      </c>
      <c r="C39">
        <v>1</v>
      </c>
      <c r="D39">
        <v>4</v>
      </c>
      <c r="E39">
        <v>0</v>
      </c>
      <c r="F39" s="1" t="s">
        <v>8</v>
      </c>
    </row>
    <row r="40" spans="1:11">
      <c r="A40">
        <v>424</v>
      </c>
      <c r="B40">
        <v>5</v>
      </c>
      <c r="C40">
        <v>1</v>
      </c>
      <c r="D40">
        <v>4</v>
      </c>
      <c r="E40">
        <v>0</v>
      </c>
      <c r="F40" t="s">
        <v>7</v>
      </c>
    </row>
    <row r="41" spans="1:11">
      <c r="A41">
        <v>423</v>
      </c>
      <c r="B41">
        <v>7</v>
      </c>
      <c r="C41">
        <v>1</v>
      </c>
      <c r="D41">
        <v>4</v>
      </c>
      <c r="E41">
        <v>0</v>
      </c>
      <c r="F41" t="s">
        <v>5</v>
      </c>
    </row>
    <row r="42" spans="1:11">
      <c r="A42">
        <v>428</v>
      </c>
      <c r="B42">
        <v>6</v>
      </c>
      <c r="C42">
        <v>1</v>
      </c>
      <c r="D42">
        <v>4</v>
      </c>
      <c r="E42">
        <v>0</v>
      </c>
      <c r="F42" t="s">
        <v>6</v>
      </c>
    </row>
    <row r="43" spans="1:11">
      <c r="A43">
        <v>426</v>
      </c>
      <c r="B43">
        <v>8</v>
      </c>
      <c r="C43">
        <v>1</v>
      </c>
      <c r="D43">
        <v>4</v>
      </c>
      <c r="E43">
        <v>358</v>
      </c>
      <c r="F43" t="s">
        <v>27</v>
      </c>
      <c r="K43" t="s">
        <v>68</v>
      </c>
    </row>
    <row r="44" spans="1:11">
      <c r="A44">
        <v>427</v>
      </c>
      <c r="B44">
        <v>0</v>
      </c>
      <c r="C44">
        <v>0</v>
      </c>
      <c r="D44">
        <v>4</v>
      </c>
      <c r="E44">
        <v>0</v>
      </c>
      <c r="F44" t="s">
        <v>28</v>
      </c>
    </row>
    <row r="45" spans="1:11" ht="15.75">
      <c r="A45">
        <v>441</v>
      </c>
      <c r="B45">
        <v>10</v>
      </c>
      <c r="C45">
        <v>12</v>
      </c>
      <c r="D45">
        <v>4</v>
      </c>
      <c r="E45">
        <v>360</v>
      </c>
      <c r="F45" s="1" t="s">
        <v>0</v>
      </c>
    </row>
    <row r="46" spans="1:11">
      <c r="A46">
        <v>439</v>
      </c>
      <c r="B46">
        <v>10</v>
      </c>
      <c r="C46">
        <v>10</v>
      </c>
      <c r="D46">
        <v>4</v>
      </c>
      <c r="E46">
        <v>360</v>
      </c>
    </row>
    <row r="47" spans="1:11" ht="15.75">
      <c r="A47">
        <v>437</v>
      </c>
      <c r="B47">
        <v>12</v>
      </c>
      <c r="C47">
        <v>12</v>
      </c>
      <c r="D47">
        <v>4</v>
      </c>
      <c r="E47">
        <v>361</v>
      </c>
      <c r="F47" s="1" t="s">
        <v>1</v>
      </c>
    </row>
    <row r="48" spans="1:11">
      <c r="A48">
        <v>438</v>
      </c>
      <c r="B48">
        <v>12</v>
      </c>
      <c r="C48">
        <v>10</v>
      </c>
      <c r="D48">
        <v>4</v>
      </c>
      <c r="E48">
        <v>361</v>
      </c>
    </row>
    <row r="49" spans="1:6" ht="15.75">
      <c r="A49">
        <v>435</v>
      </c>
      <c r="B49">
        <v>14</v>
      </c>
      <c r="C49">
        <v>12</v>
      </c>
      <c r="D49">
        <v>4</v>
      </c>
      <c r="E49">
        <v>362</v>
      </c>
      <c r="F49" s="1" t="s">
        <v>2</v>
      </c>
    </row>
    <row r="50" spans="1:6">
      <c r="A50">
        <v>436</v>
      </c>
      <c r="B50">
        <v>14</v>
      </c>
      <c r="C50">
        <v>10</v>
      </c>
      <c r="D50">
        <v>4</v>
      </c>
      <c r="E50">
        <v>362</v>
      </c>
    </row>
    <row r="51" spans="1:6" ht="15.75">
      <c r="A51">
        <v>433</v>
      </c>
      <c r="B51">
        <v>16</v>
      </c>
      <c r="C51">
        <v>12</v>
      </c>
      <c r="D51">
        <v>4</v>
      </c>
      <c r="E51">
        <v>363</v>
      </c>
      <c r="F51" s="1" t="s">
        <v>3</v>
      </c>
    </row>
    <row r="52" spans="1:6">
      <c r="A52">
        <v>434</v>
      </c>
      <c r="B52">
        <v>16</v>
      </c>
      <c r="C52">
        <v>10</v>
      </c>
      <c r="D52">
        <v>4</v>
      </c>
      <c r="E52">
        <v>363</v>
      </c>
    </row>
    <row r="53" spans="1:6" ht="15.75">
      <c r="A53">
        <v>507</v>
      </c>
      <c r="B53">
        <v>20</v>
      </c>
      <c r="C53">
        <v>1</v>
      </c>
      <c r="D53">
        <v>8</v>
      </c>
      <c r="E53">
        <v>0</v>
      </c>
      <c r="F53" s="1" t="s">
        <v>62</v>
      </c>
    </row>
    <row r="54" spans="1:6">
      <c r="A54">
        <v>523</v>
      </c>
      <c r="B54">
        <v>21</v>
      </c>
      <c r="C54">
        <v>-1</v>
      </c>
      <c r="D54">
        <v>8</v>
      </c>
      <c r="E54">
        <v>0</v>
      </c>
      <c r="F54" t="s">
        <v>63</v>
      </c>
    </row>
    <row r="55" spans="1:6" ht="15.75">
      <c r="A55">
        <v>506</v>
      </c>
      <c r="B55">
        <v>1</v>
      </c>
      <c r="C55">
        <v>1</v>
      </c>
      <c r="D55">
        <v>8</v>
      </c>
      <c r="E55">
        <v>0</v>
      </c>
      <c r="F55" s="1" t="s">
        <v>37</v>
      </c>
    </row>
    <row r="56" spans="1:6" ht="15.75">
      <c r="A56">
        <v>505</v>
      </c>
      <c r="B56">
        <v>2</v>
      </c>
      <c r="C56">
        <v>1</v>
      </c>
      <c r="D56">
        <v>8</v>
      </c>
      <c r="E56">
        <v>0</v>
      </c>
      <c r="F56" s="1" t="s">
        <v>38</v>
      </c>
    </row>
    <row r="57" spans="1:6" ht="15.75">
      <c r="A57">
        <v>504</v>
      </c>
      <c r="B57">
        <v>3</v>
      </c>
      <c r="C57">
        <v>1</v>
      </c>
      <c r="D57">
        <v>8</v>
      </c>
      <c r="E57">
        <v>0</v>
      </c>
      <c r="F57" s="1" t="s">
        <v>39</v>
      </c>
    </row>
    <row r="58" spans="1:6" ht="15.75">
      <c r="A58">
        <v>522</v>
      </c>
      <c r="B58">
        <v>4</v>
      </c>
      <c r="C58">
        <v>1</v>
      </c>
      <c r="D58">
        <v>8</v>
      </c>
      <c r="E58">
        <v>0</v>
      </c>
      <c r="F58" s="1" t="s">
        <v>40</v>
      </c>
    </row>
    <row r="59" spans="1:6" ht="15.75">
      <c r="A59">
        <v>521</v>
      </c>
      <c r="B59">
        <v>5</v>
      </c>
      <c r="C59">
        <v>1</v>
      </c>
      <c r="D59">
        <v>8</v>
      </c>
      <c r="E59">
        <v>0</v>
      </c>
      <c r="F59" s="1" t="s">
        <v>41</v>
      </c>
    </row>
    <row r="60" spans="1:6" ht="15.75">
      <c r="A60">
        <v>520</v>
      </c>
      <c r="B60">
        <v>6</v>
      </c>
      <c r="C60">
        <v>1</v>
      </c>
      <c r="D60">
        <v>8</v>
      </c>
      <c r="E60">
        <v>0</v>
      </c>
      <c r="F60" s="1" t="s">
        <v>42</v>
      </c>
    </row>
    <row r="61" spans="1:6" ht="15.75">
      <c r="A61">
        <v>538</v>
      </c>
      <c r="B61">
        <v>7</v>
      </c>
      <c r="C61">
        <v>1</v>
      </c>
      <c r="D61">
        <v>8</v>
      </c>
      <c r="E61">
        <v>0</v>
      </c>
      <c r="F61" s="1" t="s">
        <v>43</v>
      </c>
    </row>
    <row r="62" spans="1:6" ht="15.75">
      <c r="A62">
        <v>537</v>
      </c>
      <c r="B62">
        <v>8</v>
      </c>
      <c r="C62">
        <v>1</v>
      </c>
      <c r="D62">
        <v>8</v>
      </c>
      <c r="E62">
        <v>0</v>
      </c>
      <c r="F62" s="1" t="s">
        <v>44</v>
      </c>
    </row>
    <row r="63" spans="1:6" ht="15.75">
      <c r="A63">
        <v>536</v>
      </c>
      <c r="B63">
        <v>9</v>
      </c>
      <c r="C63">
        <v>1</v>
      </c>
      <c r="D63">
        <v>8</v>
      </c>
      <c r="E63">
        <v>0</v>
      </c>
      <c r="F63" s="1" t="s">
        <v>45</v>
      </c>
    </row>
    <row r="64" spans="1:6" ht="15.75">
      <c r="A64">
        <v>503</v>
      </c>
      <c r="B64">
        <v>12</v>
      </c>
      <c r="C64">
        <v>1</v>
      </c>
      <c r="D64">
        <v>8</v>
      </c>
      <c r="E64">
        <v>0</v>
      </c>
      <c r="F64" s="1" t="s">
        <v>46</v>
      </c>
    </row>
    <row r="65" spans="1:6" ht="15.75">
      <c r="A65">
        <v>519</v>
      </c>
      <c r="B65">
        <v>10</v>
      </c>
      <c r="C65">
        <v>1</v>
      </c>
      <c r="D65">
        <v>8</v>
      </c>
      <c r="E65">
        <v>0</v>
      </c>
      <c r="F65" s="1" t="s">
        <v>47</v>
      </c>
    </row>
    <row r="66" spans="1:6" ht="15.75">
      <c r="A66">
        <v>535</v>
      </c>
      <c r="B66">
        <v>11</v>
      </c>
      <c r="C66">
        <v>1</v>
      </c>
      <c r="D66">
        <v>8</v>
      </c>
      <c r="E66">
        <v>0</v>
      </c>
      <c r="F66" s="1" t="s">
        <v>48</v>
      </c>
    </row>
    <row r="67" spans="1:6" ht="15.75">
      <c r="A67">
        <v>502</v>
      </c>
      <c r="B67">
        <v>13</v>
      </c>
      <c r="C67">
        <v>1</v>
      </c>
      <c r="D67">
        <v>8</v>
      </c>
      <c r="E67">
        <v>0</v>
      </c>
      <c r="F67" s="1" t="s">
        <v>49</v>
      </c>
    </row>
    <row r="68" spans="1:6" ht="15.75">
      <c r="A68">
        <v>518</v>
      </c>
      <c r="B68">
        <v>14</v>
      </c>
      <c r="C68">
        <v>1</v>
      </c>
      <c r="D68">
        <v>8</v>
      </c>
      <c r="E68">
        <v>0</v>
      </c>
      <c r="F68" s="1" t="s">
        <v>50</v>
      </c>
    </row>
    <row r="69" spans="1:6" ht="15.75">
      <c r="A69">
        <v>534</v>
      </c>
      <c r="B69">
        <v>15</v>
      </c>
      <c r="C69">
        <v>1</v>
      </c>
      <c r="D69">
        <v>8</v>
      </c>
      <c r="E69">
        <v>0</v>
      </c>
      <c r="F69" s="1" t="s">
        <v>51</v>
      </c>
    </row>
    <row r="70" spans="1:6" ht="15.75">
      <c r="A70">
        <v>501</v>
      </c>
      <c r="B70">
        <v>16</v>
      </c>
      <c r="C70">
        <v>1</v>
      </c>
      <c r="D70">
        <v>8</v>
      </c>
      <c r="E70">
        <v>0</v>
      </c>
      <c r="F70" s="1" t="s">
        <v>52</v>
      </c>
    </row>
    <row r="71" spans="1:6" ht="15.75">
      <c r="A71">
        <v>517</v>
      </c>
      <c r="B71">
        <v>17</v>
      </c>
      <c r="C71">
        <v>1</v>
      </c>
      <c r="D71">
        <v>8</v>
      </c>
      <c r="E71">
        <v>0</v>
      </c>
      <c r="F71" s="1" t="s">
        <v>53</v>
      </c>
    </row>
    <row r="72" spans="1:6" ht="15.75">
      <c r="A72">
        <v>533</v>
      </c>
      <c r="B72">
        <v>18</v>
      </c>
      <c r="C72">
        <v>1</v>
      </c>
      <c r="D72">
        <v>8</v>
      </c>
      <c r="E72">
        <v>0</v>
      </c>
      <c r="F72" s="1" t="s">
        <v>54</v>
      </c>
    </row>
    <row r="73" spans="1:6" ht="15.75">
      <c r="A73">
        <v>512</v>
      </c>
      <c r="B73">
        <v>1</v>
      </c>
      <c r="C73">
        <v>1</v>
      </c>
      <c r="D73">
        <v>24</v>
      </c>
      <c r="E73">
        <v>0</v>
      </c>
      <c r="F73" s="1" t="s">
        <v>55</v>
      </c>
    </row>
    <row r="74" spans="1:6" ht="15.75">
      <c r="A74">
        <v>528</v>
      </c>
      <c r="B74">
        <v>30</v>
      </c>
      <c r="C74">
        <v>1</v>
      </c>
      <c r="D74">
        <v>8</v>
      </c>
      <c r="E74">
        <v>0</v>
      </c>
      <c r="F74" s="1" t="s">
        <v>56</v>
      </c>
    </row>
    <row r="75" spans="1:6" ht="15.75">
      <c r="A75">
        <v>544</v>
      </c>
      <c r="B75">
        <v>33</v>
      </c>
      <c r="C75">
        <v>1</v>
      </c>
      <c r="D75">
        <v>8</v>
      </c>
      <c r="E75">
        <v>0</v>
      </c>
      <c r="F75" s="1" t="s">
        <v>57</v>
      </c>
    </row>
    <row r="76" spans="1:6" ht="15.75">
      <c r="A76">
        <v>529</v>
      </c>
      <c r="B76">
        <v>31</v>
      </c>
      <c r="C76">
        <v>1</v>
      </c>
      <c r="D76">
        <v>8</v>
      </c>
      <c r="E76">
        <v>0</v>
      </c>
      <c r="F76" s="1" t="s">
        <v>58</v>
      </c>
    </row>
    <row r="77" spans="1:6" ht="15.75">
      <c r="A77">
        <v>545</v>
      </c>
      <c r="B77">
        <v>34</v>
      </c>
      <c r="C77">
        <v>1</v>
      </c>
      <c r="D77">
        <v>8</v>
      </c>
      <c r="E77">
        <v>0</v>
      </c>
      <c r="F77" s="1" t="s">
        <v>59</v>
      </c>
    </row>
    <row r="78" spans="1:6" ht="15.75">
      <c r="A78">
        <v>527</v>
      </c>
      <c r="B78">
        <v>32</v>
      </c>
      <c r="C78">
        <v>1</v>
      </c>
      <c r="D78">
        <v>8</v>
      </c>
      <c r="E78">
        <v>0</v>
      </c>
      <c r="F78" s="1" t="s">
        <v>60</v>
      </c>
    </row>
    <row r="79" spans="1:6" ht="15.75">
      <c r="A79">
        <v>543</v>
      </c>
      <c r="B79">
        <v>35</v>
      </c>
      <c r="C79">
        <v>1</v>
      </c>
      <c r="D79">
        <v>8</v>
      </c>
      <c r="E79">
        <v>0</v>
      </c>
      <c r="F79" s="1" t="s">
        <v>61</v>
      </c>
    </row>
    <row r="80" spans="1:6" ht="15.75">
      <c r="A80">
        <v>510</v>
      </c>
      <c r="B80">
        <v>22</v>
      </c>
      <c r="C80">
        <v>1</v>
      </c>
      <c r="D80">
        <v>8</v>
      </c>
      <c r="E80">
        <v>0</v>
      </c>
      <c r="F80" s="1" t="s">
        <v>30</v>
      </c>
    </row>
    <row r="81" spans="1:6" ht="15.75">
      <c r="A81">
        <v>526</v>
      </c>
      <c r="B81">
        <v>23</v>
      </c>
      <c r="C81">
        <v>-1</v>
      </c>
      <c r="D81">
        <v>8</v>
      </c>
      <c r="E81">
        <v>0</v>
      </c>
      <c r="F81" s="1" t="s">
        <v>29</v>
      </c>
    </row>
    <row r="82" spans="1:6" ht="15.75">
      <c r="A82">
        <v>509</v>
      </c>
      <c r="B82">
        <v>24</v>
      </c>
      <c r="C82">
        <v>1</v>
      </c>
      <c r="D82">
        <v>8</v>
      </c>
      <c r="E82">
        <v>0</v>
      </c>
      <c r="F82" s="1" t="s">
        <v>31</v>
      </c>
    </row>
    <row r="83" spans="1:6" ht="15.75">
      <c r="A83">
        <v>525</v>
      </c>
      <c r="B83">
        <v>25</v>
      </c>
      <c r="C83">
        <v>-1</v>
      </c>
      <c r="D83">
        <v>8</v>
      </c>
      <c r="E83">
        <v>0</v>
      </c>
      <c r="F83" s="1" t="s">
        <v>32</v>
      </c>
    </row>
    <row r="84" spans="1:6" ht="15.75">
      <c r="A84">
        <v>541</v>
      </c>
      <c r="B84">
        <v>28</v>
      </c>
      <c r="C84">
        <v>1</v>
      </c>
      <c r="D84">
        <v>8</v>
      </c>
      <c r="E84">
        <v>0</v>
      </c>
      <c r="F84" s="1" t="s">
        <v>35</v>
      </c>
    </row>
    <row r="85" spans="1:6" ht="15.75">
      <c r="A85">
        <v>542</v>
      </c>
      <c r="B85">
        <v>29</v>
      </c>
      <c r="C85">
        <v>-1</v>
      </c>
      <c r="D85">
        <v>8</v>
      </c>
      <c r="E85">
        <v>0</v>
      </c>
      <c r="F85" s="1" t="s">
        <v>36</v>
      </c>
    </row>
    <row r="86" spans="1:6" ht="15.75">
      <c r="A86">
        <v>524</v>
      </c>
      <c r="B86">
        <v>26</v>
      </c>
      <c r="C86">
        <v>1</v>
      </c>
      <c r="D86">
        <v>8</v>
      </c>
      <c r="E86">
        <v>0</v>
      </c>
      <c r="F86" s="1" t="s">
        <v>33</v>
      </c>
    </row>
    <row r="87" spans="1:6" ht="15.75">
      <c r="A87">
        <v>540</v>
      </c>
      <c r="B87">
        <v>27</v>
      </c>
      <c r="C87">
        <v>-1</v>
      </c>
      <c r="D87">
        <v>8</v>
      </c>
      <c r="E87">
        <v>0</v>
      </c>
      <c r="F87" s="1" t="s">
        <v>34</v>
      </c>
    </row>
    <row r="88" spans="1:6" ht="15.75">
      <c r="A88">
        <v>326</v>
      </c>
      <c r="B88">
        <v>5</v>
      </c>
      <c r="C88">
        <v>1</v>
      </c>
      <c r="D88">
        <v>36</v>
      </c>
      <c r="E88">
        <v>0</v>
      </c>
      <c r="F88" s="1" t="s">
        <v>78</v>
      </c>
    </row>
    <row r="89" spans="1:6" ht="15.75">
      <c r="A89">
        <v>310</v>
      </c>
      <c r="B89">
        <v>6</v>
      </c>
      <c r="C89">
        <v>1</v>
      </c>
      <c r="D89">
        <v>36</v>
      </c>
      <c r="E89">
        <v>0</v>
      </c>
      <c r="F89" s="1" t="s">
        <v>79</v>
      </c>
    </row>
    <row r="90" spans="1:6" ht="15.75">
      <c r="A90">
        <v>312</v>
      </c>
      <c r="B90">
        <v>7</v>
      </c>
      <c r="C90">
        <v>1</v>
      </c>
      <c r="D90">
        <v>36</v>
      </c>
      <c r="E90">
        <v>0</v>
      </c>
      <c r="F90" s="1" t="s">
        <v>80</v>
      </c>
    </row>
    <row r="91" spans="1:6" ht="15.75">
      <c r="A91">
        <v>342</v>
      </c>
      <c r="B91">
        <v>8</v>
      </c>
      <c r="C91">
        <v>1</v>
      </c>
      <c r="D91">
        <v>36</v>
      </c>
      <c r="E91">
        <v>0</v>
      </c>
      <c r="F91" s="1" t="s">
        <v>81</v>
      </c>
    </row>
    <row r="92" spans="1:6" ht="15.75">
      <c r="A92">
        <v>840</v>
      </c>
      <c r="B92">
        <v>5</v>
      </c>
      <c r="C92">
        <v>1</v>
      </c>
      <c r="D92">
        <v>37</v>
      </c>
      <c r="E92">
        <v>0</v>
      </c>
      <c r="F92" s="1" t="s">
        <v>88</v>
      </c>
    </row>
    <row r="93" spans="1:6" ht="15.75">
      <c r="A93">
        <v>808</v>
      </c>
      <c r="B93">
        <v>1</v>
      </c>
      <c r="C93">
        <v>1</v>
      </c>
      <c r="D93">
        <v>39</v>
      </c>
      <c r="E93">
        <v>716</v>
      </c>
      <c r="F93" s="1" t="s">
        <v>82</v>
      </c>
    </row>
    <row r="94" spans="1:6" ht="15.75">
      <c r="A94">
        <v>809</v>
      </c>
      <c r="B94">
        <v>1</v>
      </c>
      <c r="C94">
        <v>1</v>
      </c>
      <c r="D94">
        <v>5</v>
      </c>
      <c r="E94">
        <v>0</v>
      </c>
      <c r="F94" s="1" t="s">
        <v>83</v>
      </c>
    </row>
    <row r="95" spans="1:6">
      <c r="A95">
        <v>810</v>
      </c>
      <c r="B95">
        <v>2</v>
      </c>
      <c r="C95">
        <v>1</v>
      </c>
      <c r="D95">
        <v>5</v>
      </c>
      <c r="E95">
        <v>0</v>
      </c>
      <c r="F95" t="s">
        <v>84</v>
      </c>
    </row>
    <row r="96" spans="1:6" ht="15.75">
      <c r="A96">
        <v>811</v>
      </c>
      <c r="B96">
        <v>3</v>
      </c>
      <c r="C96">
        <v>1</v>
      </c>
      <c r="D96">
        <v>5</v>
      </c>
      <c r="E96">
        <v>0</v>
      </c>
      <c r="F96" s="1" t="s">
        <v>85</v>
      </c>
    </row>
    <row r="97" spans="1:6" ht="15.75">
      <c r="A97">
        <v>812</v>
      </c>
      <c r="B97">
        <v>4</v>
      </c>
      <c r="C97">
        <v>1</v>
      </c>
      <c r="D97">
        <v>5</v>
      </c>
      <c r="E97">
        <v>0</v>
      </c>
      <c r="F97" s="1" t="s">
        <v>86</v>
      </c>
    </row>
    <row r="98" spans="1:6">
      <c r="A98">
        <v>813</v>
      </c>
      <c r="B98">
        <v>5</v>
      </c>
      <c r="C98">
        <v>1</v>
      </c>
      <c r="D98">
        <v>5</v>
      </c>
      <c r="E98">
        <v>0</v>
      </c>
      <c r="F98" t="s">
        <v>87</v>
      </c>
    </row>
    <row r="99" spans="1:6">
      <c r="A99">
        <v>108</v>
      </c>
      <c r="B99">
        <v>1</v>
      </c>
      <c r="C99">
        <v>1</v>
      </c>
      <c r="D99">
        <v>46</v>
      </c>
      <c r="E99">
        <v>0</v>
      </c>
      <c r="F99" t="s">
        <v>70</v>
      </c>
    </row>
    <row r="100" spans="1:6" ht="15.75">
      <c r="A100">
        <v>106</v>
      </c>
      <c r="B100">
        <v>2</v>
      </c>
      <c r="C100">
        <v>1</v>
      </c>
      <c r="D100">
        <v>46</v>
      </c>
      <c r="E100">
        <v>0</v>
      </c>
      <c r="F100" s="1" t="s">
        <v>71</v>
      </c>
    </row>
    <row r="101" spans="1:6" ht="15.75">
      <c r="A101">
        <v>105</v>
      </c>
      <c r="B101">
        <v>3</v>
      </c>
      <c r="C101">
        <v>1</v>
      </c>
      <c r="D101">
        <v>46</v>
      </c>
      <c r="E101">
        <v>0</v>
      </c>
      <c r="F101" s="1" t="s">
        <v>72</v>
      </c>
    </row>
    <row r="102" spans="1:6" ht="15.75">
      <c r="A102">
        <v>120</v>
      </c>
      <c r="B102">
        <v>4</v>
      </c>
      <c r="C102">
        <v>1</v>
      </c>
      <c r="D102">
        <v>46</v>
      </c>
      <c r="E102">
        <v>0</v>
      </c>
      <c r="F102" s="1" t="s">
        <v>73</v>
      </c>
    </row>
    <row r="103" spans="1:6" ht="15.75">
      <c r="A103">
        <v>119</v>
      </c>
      <c r="B103">
        <v>5</v>
      </c>
      <c r="C103">
        <v>1</v>
      </c>
      <c r="D103">
        <v>46</v>
      </c>
      <c r="E103">
        <v>0</v>
      </c>
      <c r="F103" s="1" t="s">
        <v>74</v>
      </c>
    </row>
    <row r="104" spans="1:6" ht="15.75">
      <c r="A104">
        <v>118</v>
      </c>
      <c r="B104">
        <v>6</v>
      </c>
      <c r="C104">
        <v>1</v>
      </c>
      <c r="D104">
        <v>46</v>
      </c>
      <c r="E104">
        <v>0</v>
      </c>
      <c r="F104" s="1" t="s">
        <v>75</v>
      </c>
    </row>
    <row r="105" spans="1:6" ht="15.75">
      <c r="A105">
        <v>117</v>
      </c>
      <c r="B105">
        <v>7</v>
      </c>
      <c r="C105">
        <v>1</v>
      </c>
      <c r="D105">
        <v>46</v>
      </c>
      <c r="E105">
        <v>0</v>
      </c>
      <c r="F105" s="1" t="s">
        <v>76</v>
      </c>
    </row>
    <row r="106" spans="1:6" ht="15.75">
      <c r="A106">
        <v>107</v>
      </c>
      <c r="B106">
        <v>8</v>
      </c>
      <c r="C106">
        <v>1</v>
      </c>
      <c r="D106">
        <v>46</v>
      </c>
      <c r="E106" s="3">
        <v>621</v>
      </c>
      <c r="F106" s="1" t="s">
        <v>77</v>
      </c>
    </row>
    <row r="107" spans="1:6" ht="15.75">
      <c r="A107">
        <v>850</v>
      </c>
      <c r="B107">
        <v>2</v>
      </c>
      <c r="C107">
        <v>50</v>
      </c>
      <c r="D107">
        <v>45</v>
      </c>
      <c r="E107">
        <v>0</v>
      </c>
      <c r="F107" s="1" t="s">
        <v>183</v>
      </c>
    </row>
    <row r="108" spans="1:6" ht="15.75">
      <c r="A108">
        <v>851</v>
      </c>
      <c r="B108">
        <v>1</v>
      </c>
      <c r="C108">
        <v>51</v>
      </c>
      <c r="D108">
        <v>35</v>
      </c>
      <c r="E108">
        <v>0</v>
      </c>
      <c r="F108" s="1" t="s">
        <v>184</v>
      </c>
    </row>
    <row r="109" spans="1:6">
      <c r="A109">
        <v>852</v>
      </c>
      <c r="B109">
        <v>1</v>
      </c>
      <c r="C109">
        <v>52</v>
      </c>
      <c r="D109">
        <v>53</v>
      </c>
      <c r="F109" t="s">
        <v>185</v>
      </c>
    </row>
    <row r="110" spans="1:6">
      <c r="A110">
        <v>853</v>
      </c>
      <c r="B110">
        <v>2</v>
      </c>
      <c r="C110">
        <v>53</v>
      </c>
      <c r="D110">
        <v>53</v>
      </c>
      <c r="F110" t="s">
        <v>186</v>
      </c>
    </row>
    <row r="111" spans="1:6">
      <c r="A111">
        <v>854</v>
      </c>
      <c r="B111">
        <v>3</v>
      </c>
      <c r="C111">
        <v>54</v>
      </c>
      <c r="D111">
        <v>53</v>
      </c>
      <c r="F111" t="s">
        <v>187</v>
      </c>
    </row>
    <row r="112" spans="1:6">
      <c r="A112">
        <v>855</v>
      </c>
      <c r="B112">
        <v>4</v>
      </c>
      <c r="C112">
        <v>55</v>
      </c>
      <c r="D112">
        <v>53</v>
      </c>
      <c r="F112" t="s">
        <v>188</v>
      </c>
    </row>
    <row r="113" spans="1:6">
      <c r="A113">
        <v>856</v>
      </c>
      <c r="B113">
        <v>1</v>
      </c>
      <c r="C113">
        <v>56</v>
      </c>
      <c r="D113">
        <v>51</v>
      </c>
      <c r="F113" t="s">
        <v>189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L28"/>
  <sheetViews>
    <sheetView topLeftCell="A19" workbookViewId="0">
      <selection activeCell="L31" sqref="L31"/>
    </sheetView>
  </sheetViews>
  <sheetFormatPr defaultRowHeight="15"/>
  <sheetData>
    <row r="2" spans="1:11">
      <c r="F2">
        <v>424</v>
      </c>
      <c r="I2">
        <v>404</v>
      </c>
      <c r="J2">
        <v>405</v>
      </c>
      <c r="K2">
        <v>406</v>
      </c>
    </row>
    <row r="3" spans="1:11">
      <c r="G3">
        <v>423</v>
      </c>
      <c r="I3">
        <v>403</v>
      </c>
      <c r="J3">
        <v>402</v>
      </c>
      <c r="K3">
        <v>401</v>
      </c>
    </row>
    <row r="4" spans="1:11">
      <c r="F4">
        <v>428</v>
      </c>
    </row>
    <row r="6" spans="1:11">
      <c r="A6">
        <v>442</v>
      </c>
      <c r="B6">
        <v>443</v>
      </c>
      <c r="C6">
        <v>440</v>
      </c>
      <c r="D6">
        <v>444</v>
      </c>
    </row>
    <row r="8" spans="1:11">
      <c r="J8">
        <v>419</v>
      </c>
    </row>
    <row r="9" spans="1:11">
      <c r="A9">
        <v>441</v>
      </c>
      <c r="B9">
        <v>437</v>
      </c>
      <c r="C9">
        <v>435</v>
      </c>
      <c r="D9">
        <v>433</v>
      </c>
      <c r="F9">
        <v>427</v>
      </c>
      <c r="J9">
        <v>418</v>
      </c>
    </row>
    <row r="10" spans="1:11">
      <c r="J10">
        <v>417</v>
      </c>
    </row>
    <row r="11" spans="1:11">
      <c r="A11">
        <v>439</v>
      </c>
      <c r="B11">
        <v>438</v>
      </c>
      <c r="C11">
        <v>436</v>
      </c>
      <c r="D11">
        <v>434</v>
      </c>
      <c r="F11">
        <v>426</v>
      </c>
      <c r="J11">
        <v>422</v>
      </c>
    </row>
    <row r="12" spans="1:11">
      <c r="J12">
        <v>421</v>
      </c>
    </row>
    <row r="13" spans="1:11">
      <c r="J13">
        <v>420</v>
      </c>
    </row>
    <row r="18" spans="1:12">
      <c r="G18">
        <v>333</v>
      </c>
      <c r="J18">
        <v>335</v>
      </c>
    </row>
    <row r="19" spans="1:12">
      <c r="A19">
        <v>340</v>
      </c>
      <c r="B19">
        <v>339</v>
      </c>
      <c r="G19">
        <v>334</v>
      </c>
      <c r="J19">
        <v>336</v>
      </c>
    </row>
    <row r="20" spans="1:12">
      <c r="B20">
        <v>338</v>
      </c>
    </row>
    <row r="21" spans="1:12">
      <c r="G21">
        <v>321</v>
      </c>
      <c r="J21">
        <v>320</v>
      </c>
    </row>
    <row r="22" spans="1:12">
      <c r="G22">
        <v>323</v>
      </c>
    </row>
    <row r="24" spans="1:12">
      <c r="F24">
        <v>318</v>
      </c>
      <c r="I24">
        <v>319</v>
      </c>
      <c r="J24">
        <v>322</v>
      </c>
    </row>
    <row r="27" spans="1:12">
      <c r="A27">
        <v>312</v>
      </c>
      <c r="B27">
        <v>311</v>
      </c>
      <c r="C27">
        <v>310</v>
      </c>
      <c r="D27">
        <v>309</v>
      </c>
      <c r="G27">
        <v>317</v>
      </c>
      <c r="I27">
        <v>325</v>
      </c>
      <c r="J27">
        <v>326</v>
      </c>
      <c r="L27">
        <v>324</v>
      </c>
    </row>
    <row r="28" spans="1:12">
      <c r="J28">
        <v>327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17"/>
  <sheetViews>
    <sheetView workbookViewId="0">
      <selection activeCell="F7" sqref="F7"/>
    </sheetView>
  </sheetViews>
  <sheetFormatPr defaultRowHeight="15"/>
  <sheetData>
    <row r="1" spans="1:6">
      <c r="A1" t="s">
        <v>89</v>
      </c>
      <c r="B1" t="s">
        <v>90</v>
      </c>
      <c r="C1" t="s">
        <v>91</v>
      </c>
      <c r="F1" t="s">
        <v>125</v>
      </c>
    </row>
    <row r="2" spans="1:6">
      <c r="A2" t="s">
        <v>92</v>
      </c>
      <c r="B2" t="s">
        <v>93</v>
      </c>
      <c r="C2" t="s">
        <v>94</v>
      </c>
    </row>
    <row r="4" spans="1:6">
      <c r="A4" t="s">
        <v>95</v>
      </c>
      <c r="B4" t="s">
        <v>97</v>
      </c>
      <c r="C4" t="s">
        <v>99</v>
      </c>
      <c r="F4" t="s">
        <v>126</v>
      </c>
    </row>
    <row r="5" spans="1:6">
      <c r="A5" t="s">
        <v>96</v>
      </c>
      <c r="B5" t="s">
        <v>98</v>
      </c>
      <c r="C5" t="s">
        <v>100</v>
      </c>
    </row>
    <row r="7" spans="1:6">
      <c r="A7" t="s">
        <v>101</v>
      </c>
      <c r="B7" t="s">
        <v>109</v>
      </c>
      <c r="C7" t="s">
        <v>117</v>
      </c>
      <c r="F7" t="s">
        <v>127</v>
      </c>
    </row>
    <row r="8" spans="1:6">
      <c r="A8" t="s">
        <v>102</v>
      </c>
      <c r="B8" t="s">
        <v>110</v>
      </c>
      <c r="C8" t="s">
        <v>118</v>
      </c>
    </row>
    <row r="10" spans="1:6">
      <c r="A10" t="s">
        <v>103</v>
      </c>
      <c r="B10" t="s">
        <v>111</v>
      </c>
      <c r="C10" t="s">
        <v>119</v>
      </c>
    </row>
    <row r="11" spans="1:6">
      <c r="A11" t="s">
        <v>104</v>
      </c>
      <c r="B11" t="s">
        <v>112</v>
      </c>
      <c r="C11" t="s">
        <v>120</v>
      </c>
    </row>
    <row r="13" spans="1:6">
      <c r="A13" t="s">
        <v>105</v>
      </c>
      <c r="B13" t="s">
        <v>113</v>
      </c>
      <c r="C13" t="s">
        <v>121</v>
      </c>
    </row>
    <row r="14" spans="1:6">
      <c r="A14" t="s">
        <v>106</v>
      </c>
      <c r="B14" t="s">
        <v>114</v>
      </c>
      <c r="C14" t="s">
        <v>122</v>
      </c>
    </row>
    <row r="16" spans="1:6">
      <c r="A16" t="s">
        <v>107</v>
      </c>
      <c r="B16" t="s">
        <v>115</v>
      </c>
      <c r="C16" t="s">
        <v>123</v>
      </c>
    </row>
    <row r="17" spans="1:3">
      <c r="A17" t="s">
        <v>108</v>
      </c>
      <c r="B17" t="s">
        <v>116</v>
      </c>
      <c r="C17" t="s">
        <v>124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26"/>
  <sheetViews>
    <sheetView workbookViewId="0">
      <selection activeCell="E30" sqref="E30"/>
    </sheetView>
  </sheetViews>
  <sheetFormatPr defaultRowHeight="15"/>
  <cols>
    <col min="3" max="3" width="27.7109375" customWidth="1"/>
  </cols>
  <sheetData>
    <row r="1" spans="1:6">
      <c r="A1">
        <v>241</v>
      </c>
      <c r="B1" t="s">
        <v>150</v>
      </c>
      <c r="C1" t="str">
        <f>"{"&amp;CHAR(34) &amp; A1 &amp; CHAR(34) &amp; ","&amp;CHAR(34) &amp;B1&amp;CHAR(34)&amp;"}"&amp;","</f>
        <v>{"241","Elec APU Gen"},</v>
      </c>
      <c r="D1" t="str">
        <f>CHAR(34) &amp; A1 &amp; CHAR(34) &amp; ","</f>
        <v>"241",</v>
      </c>
      <c r="E1" t="str">
        <f t="shared" ref="E1:E12" si="0">CHAR(9)&amp; CHAR(9)&amp; "case " &amp; CHAR(34) &amp; A1 &amp; CHAR(34) &amp;":" &amp; CHAR(9)&amp; CHAR(9)&amp; CHAR(9) &amp; " //" &amp; B1</f>
        <v xml:space="preserve">		case "241":			 //Elec APU Gen</v>
      </c>
      <c r="F1" t="s">
        <v>152</v>
      </c>
    </row>
    <row r="2" spans="1:6">
      <c r="A2">
        <v>242</v>
      </c>
      <c r="B2" t="s">
        <v>148</v>
      </c>
      <c r="C2" t="str">
        <f t="shared" ref="C2:C26" si="1">"{"&amp;CHAR(34) &amp; A2 &amp; CHAR(34) &amp; ","&amp;CHAR(34) &amp;B2&amp;CHAR(34)&amp;"}"&amp;","</f>
        <v>{"242","Elec Inverter"},</v>
      </c>
      <c r="D2" t="str">
        <f t="shared" ref="D2:D26" si="2">CHAR(34) &amp; A2 &amp; CHAR(34) &amp; ","</f>
        <v>"242",</v>
      </c>
      <c r="E2" t="str">
        <f t="shared" si="0"/>
        <v xml:space="preserve">		case "242":			 //Elec Inverter</v>
      </c>
      <c r="F2" t="s">
        <v>153</v>
      </c>
    </row>
    <row r="3" spans="1:6">
      <c r="A3">
        <v>243</v>
      </c>
      <c r="B3" t="s">
        <v>146</v>
      </c>
      <c r="C3" t="str">
        <f t="shared" si="1"/>
        <v>{"243","Elec Flood"},</v>
      </c>
      <c r="D3" t="str">
        <f t="shared" si="2"/>
        <v>"243",</v>
      </c>
      <c r="E3" t="str">
        <f t="shared" si="0"/>
        <v xml:space="preserve">		case "243":			 //Elec Flood</v>
      </c>
      <c r="F3" t="s">
        <v>154</v>
      </c>
    </row>
    <row r="4" spans="1:6">
      <c r="A4">
        <v>244</v>
      </c>
      <c r="B4" t="s">
        <v>151</v>
      </c>
      <c r="C4" t="str">
        <f t="shared" si="1"/>
        <v>{"244","Elec L Gen"},</v>
      </c>
      <c r="D4" t="str">
        <f t="shared" si="2"/>
        <v>"244",</v>
      </c>
      <c r="E4" t="str">
        <f t="shared" si="0"/>
        <v xml:space="preserve">		case "244":			 //Elec L Gen</v>
      </c>
      <c r="F4" t="s">
        <v>155</v>
      </c>
    </row>
    <row r="5" spans="1:6">
      <c r="A5">
        <v>245</v>
      </c>
      <c r="B5" t="s">
        <v>149</v>
      </c>
      <c r="C5" t="str">
        <f t="shared" si="1"/>
        <v>{"245","Elec R Gen"},</v>
      </c>
      <c r="D5" t="str">
        <f t="shared" si="2"/>
        <v>"245",</v>
      </c>
      <c r="E5" t="str">
        <f t="shared" si="0"/>
        <v xml:space="preserve">		case "245":			 //Elec R Gen</v>
      </c>
      <c r="F5" t="s">
        <v>156</v>
      </c>
    </row>
    <row r="6" spans="1:6">
      <c r="A6">
        <v>246</v>
      </c>
      <c r="B6" t="s">
        <v>147</v>
      </c>
      <c r="C6" t="str">
        <f t="shared" si="1"/>
        <v>{"246","Elec Battery"},</v>
      </c>
      <c r="D6" t="str">
        <f t="shared" si="2"/>
        <v>"246",</v>
      </c>
      <c r="E6" t="str">
        <f t="shared" si="0"/>
        <v xml:space="preserve">		case "246":			 //Elec Battery</v>
      </c>
      <c r="F6" t="s">
        <v>157</v>
      </c>
    </row>
    <row r="7" spans="1:6">
      <c r="A7">
        <v>358</v>
      </c>
      <c r="B7" t="s">
        <v>135</v>
      </c>
      <c r="C7" t="str">
        <f t="shared" si="1"/>
        <v>{"358","CMSP Jettison"},</v>
      </c>
      <c r="D7" t="str">
        <f t="shared" si="2"/>
        <v>"358",</v>
      </c>
      <c r="E7" t="str">
        <f t="shared" si="0"/>
        <v xml:space="preserve">		case "358":			 //CMSP Jettison</v>
      </c>
      <c r="F7" t="s">
        <v>158</v>
      </c>
    </row>
    <row r="8" spans="1:6">
      <c r="A8">
        <v>360</v>
      </c>
      <c r="B8" t="s">
        <v>133</v>
      </c>
      <c r="C8" t="str">
        <f t="shared" si="1"/>
        <v>{"360","CMSP (MWS)"},</v>
      </c>
      <c r="D8" t="str">
        <f t="shared" si="2"/>
        <v>"360",</v>
      </c>
      <c r="E8" t="str">
        <f t="shared" si="0"/>
        <v xml:space="preserve">		case "360":			 //CMSP (MWS)</v>
      </c>
      <c r="F8" t="s">
        <v>159</v>
      </c>
    </row>
    <row r="9" spans="1:6">
      <c r="A9">
        <v>361</v>
      </c>
      <c r="B9" t="s">
        <v>132</v>
      </c>
      <c r="C9" t="str">
        <f t="shared" si="1"/>
        <v>{"361","CMSP (JMR)"},</v>
      </c>
      <c r="D9" t="str">
        <f t="shared" si="2"/>
        <v>"361",</v>
      </c>
      <c r="E9" t="str">
        <f t="shared" si="0"/>
        <v xml:space="preserve">		case "361":			 //CMSP (JMR)</v>
      </c>
      <c r="F9" t="s">
        <v>160</v>
      </c>
    </row>
    <row r="10" spans="1:6">
      <c r="A10">
        <v>362</v>
      </c>
      <c r="B10" t="s">
        <v>131</v>
      </c>
      <c r="C10" t="str">
        <f t="shared" si="1"/>
        <v>{"362","CMSP (RWR)"},</v>
      </c>
      <c r="D10" t="str">
        <f t="shared" si="2"/>
        <v>"362",</v>
      </c>
      <c r="E10" t="str">
        <f t="shared" si="0"/>
        <v xml:space="preserve">		case "362":			 //CMSP (RWR)</v>
      </c>
      <c r="F10" t="s">
        <v>161</v>
      </c>
    </row>
    <row r="11" spans="1:6">
      <c r="A11">
        <v>363</v>
      </c>
      <c r="B11" t="s">
        <v>128</v>
      </c>
      <c r="C11" t="str">
        <f t="shared" si="1"/>
        <v>{"363","CMSP (DISP)"},</v>
      </c>
      <c r="D11" t="str">
        <f t="shared" si="2"/>
        <v>"363",</v>
      </c>
      <c r="E11" t="str">
        <f t="shared" si="0"/>
        <v xml:space="preserve">		case "363":			 //CMSP (DISP)</v>
      </c>
      <c r="F11" t="s">
        <v>162</v>
      </c>
    </row>
    <row r="12" spans="1:6">
      <c r="A12">
        <v>364</v>
      </c>
      <c r="B12" t="s">
        <v>134</v>
      </c>
      <c r="C12" t="str">
        <f t="shared" si="1"/>
        <v>{"364","CMSP Master Mode Select"},</v>
      </c>
      <c r="D12" t="str">
        <f t="shared" si="2"/>
        <v>"364",</v>
      </c>
      <c r="E12" t="str">
        <f t="shared" si="0"/>
        <v xml:space="preserve">		case "364":			 //CMSP Master Mode Select</v>
      </c>
      <c r="F12" t="s">
        <v>163</v>
      </c>
    </row>
    <row r="13" spans="1:6">
      <c r="A13">
        <v>375</v>
      </c>
      <c r="B13" t="s">
        <v>136</v>
      </c>
      <c r="C13" t="str">
        <f t="shared" si="1"/>
        <v>{"375","AHCP Master Arm"},</v>
      </c>
      <c r="D13" t="str">
        <f t="shared" si="2"/>
        <v>"375",</v>
      </c>
      <c r="E13" t="str">
        <f>CHAR(9)&amp; CHAR(9)&amp; "case " &amp; CHAR(34) &amp; A13 &amp; CHAR(34) &amp;":" &amp; CHAR(9)&amp; CHAR(9)&amp; CHAR(9) &amp; " //" &amp; B13</f>
        <v xml:space="preserve">		case "375":			 //AHCP Master Arm</v>
      </c>
      <c r="F13" t="s">
        <v>164</v>
      </c>
    </row>
    <row r="14" spans="1:6">
      <c r="A14">
        <v>376</v>
      </c>
      <c r="B14" t="s">
        <v>137</v>
      </c>
      <c r="C14" t="str">
        <f t="shared" si="1"/>
        <v>{"376","AHCP Gun Arm Mode"},</v>
      </c>
      <c r="D14" t="str">
        <f t="shared" si="2"/>
        <v>"376",</v>
      </c>
      <c r="E14" t="str">
        <f t="shared" ref="E14:E26" si="3">CHAR(9)&amp; CHAR(9)&amp; "case " &amp; CHAR(34) &amp; A14 &amp; CHAR(34) &amp;":" &amp; CHAR(9)&amp; CHAR(9)&amp; CHAR(9) &amp; " //" &amp; B14</f>
        <v xml:space="preserve">		case "376":			 //AHCP Gun Arm Mode</v>
      </c>
      <c r="F14" t="s">
        <v>165</v>
      </c>
    </row>
    <row r="15" spans="1:6">
      <c r="A15">
        <v>377</v>
      </c>
      <c r="B15" t="s">
        <v>138</v>
      </c>
      <c r="C15" t="str">
        <f t="shared" si="1"/>
        <v>{"377","AHCP Laser Arm"},</v>
      </c>
      <c r="D15" t="str">
        <f t="shared" si="2"/>
        <v>"377",</v>
      </c>
      <c r="E15" t="str">
        <f t="shared" si="3"/>
        <v xml:space="preserve">		case "377":			 //AHCP Laser Arm</v>
      </c>
      <c r="F15" t="s">
        <v>166</v>
      </c>
    </row>
    <row r="16" spans="1:6">
      <c r="A16">
        <v>378</v>
      </c>
      <c r="B16" t="s">
        <v>139</v>
      </c>
      <c r="C16" t="str">
        <f t="shared" si="1"/>
        <v>{"378","AHCP TGP"},</v>
      </c>
      <c r="D16" t="str">
        <f t="shared" si="2"/>
        <v>"378",</v>
      </c>
      <c r="E16" t="str">
        <f t="shared" si="3"/>
        <v xml:space="preserve">		case "378":			 //AHCP TGP</v>
      </c>
      <c r="F16" t="s">
        <v>167</v>
      </c>
    </row>
    <row r="17" spans="1:6">
      <c r="A17">
        <v>379</v>
      </c>
      <c r="B17" t="s">
        <v>140</v>
      </c>
      <c r="C17" t="str">
        <f t="shared" si="1"/>
        <v>{"379","AHCP Alt Source"},</v>
      </c>
      <c r="D17" t="str">
        <f t="shared" si="2"/>
        <v>"379",</v>
      </c>
      <c r="E17" t="str">
        <f t="shared" si="3"/>
        <v xml:space="preserve">		case "379":			 //AHCP Alt Source</v>
      </c>
      <c r="F17" t="s">
        <v>168</v>
      </c>
    </row>
    <row r="18" spans="1:6">
      <c r="A18">
        <v>380</v>
      </c>
      <c r="B18" t="s">
        <v>141</v>
      </c>
      <c r="C18" t="str">
        <f t="shared" si="1"/>
        <v>{"380","AHCP HUD Day/Night"},</v>
      </c>
      <c r="D18" t="str">
        <f t="shared" si="2"/>
        <v>"380",</v>
      </c>
      <c r="E18" t="str">
        <f t="shared" si="3"/>
        <v xml:space="preserve">		case "380":			 //AHCP HUD Day/Night</v>
      </c>
      <c r="F18" t="s">
        <v>169</v>
      </c>
    </row>
    <row r="19" spans="1:6">
      <c r="A19">
        <v>381</v>
      </c>
      <c r="B19" t="s">
        <v>142</v>
      </c>
      <c r="C19" t="str">
        <f t="shared" si="1"/>
        <v>{"381","AHCP HUD Normal"},</v>
      </c>
      <c r="D19" t="str">
        <f t="shared" si="2"/>
        <v>"381",</v>
      </c>
      <c r="E19" t="str">
        <f t="shared" si="3"/>
        <v xml:space="preserve">		case "381":			 //AHCP HUD Normal</v>
      </c>
      <c r="F19" t="s">
        <v>170</v>
      </c>
    </row>
    <row r="20" spans="1:6">
      <c r="A20">
        <v>382</v>
      </c>
      <c r="B20" t="s">
        <v>143</v>
      </c>
      <c r="C20" t="str">
        <f t="shared" si="1"/>
        <v>{"382","AHCP CICU"},</v>
      </c>
      <c r="D20" t="str">
        <f t="shared" si="2"/>
        <v>"382",</v>
      </c>
      <c r="E20" t="str">
        <f t="shared" si="3"/>
        <v xml:space="preserve">		case "382":			 //AHCP CICU</v>
      </c>
      <c r="F20" t="s">
        <v>171</v>
      </c>
    </row>
    <row r="21" spans="1:6">
      <c r="A21">
        <v>383</v>
      </c>
      <c r="B21" t="s">
        <v>144</v>
      </c>
      <c r="C21" t="str">
        <f t="shared" si="1"/>
        <v>{"383","AHCP JTRS"},</v>
      </c>
      <c r="D21" t="str">
        <f t="shared" si="2"/>
        <v>"383",</v>
      </c>
      <c r="E21" t="str">
        <f t="shared" si="3"/>
        <v xml:space="preserve">		case "383":			 //AHCP JTRS</v>
      </c>
      <c r="F21" t="s">
        <v>172</v>
      </c>
    </row>
    <row r="22" spans="1:6">
      <c r="A22">
        <v>384</v>
      </c>
      <c r="B22" t="s">
        <v>145</v>
      </c>
      <c r="C22" t="str">
        <f t="shared" si="1"/>
        <v>{"384","AHCP IFFCC"},</v>
      </c>
      <c r="D22" t="str">
        <f t="shared" si="2"/>
        <v>"384",</v>
      </c>
      <c r="E22" t="str">
        <f t="shared" si="3"/>
        <v xml:space="preserve">		case "384":			 //AHCP IFFCC</v>
      </c>
      <c r="F22" t="s">
        <v>173</v>
      </c>
    </row>
    <row r="23" spans="1:6" ht="15.75">
      <c r="A23" s="3">
        <v>621</v>
      </c>
      <c r="B23" t="s">
        <v>130</v>
      </c>
      <c r="C23" t="str">
        <f t="shared" si="1"/>
        <v>{"621","NMSP ABLE/STOW"},</v>
      </c>
      <c r="D23" t="str">
        <f t="shared" si="2"/>
        <v>"621",</v>
      </c>
      <c r="E23" t="str">
        <f t="shared" si="3"/>
        <v xml:space="preserve">		case "621":			 //NMSP ABLE/STOW</v>
      </c>
      <c r="F23" t="s">
        <v>174</v>
      </c>
    </row>
    <row r="24" spans="1:6">
      <c r="A24">
        <v>654</v>
      </c>
      <c r="B24" t="s">
        <v>26</v>
      </c>
      <c r="C24" t="str">
        <f t="shared" si="1"/>
        <v>{"654","Anti Skid"},</v>
      </c>
      <c r="D24" t="str">
        <f t="shared" si="2"/>
        <v>"654",</v>
      </c>
      <c r="E24" t="str">
        <f t="shared" si="3"/>
        <v xml:space="preserve">		case "654":			 //Anti Skid</v>
      </c>
      <c r="F24" t="s">
        <v>175</v>
      </c>
    </row>
    <row r="25" spans="1:6">
      <c r="A25">
        <v>655</v>
      </c>
      <c r="B25" t="s">
        <v>66</v>
      </c>
      <c r="C25" t="str">
        <f t="shared" si="1"/>
        <v>{"655","Land Taxi Lights"},</v>
      </c>
      <c r="D25" t="str">
        <f t="shared" si="2"/>
        <v>"655",</v>
      </c>
      <c r="E25" t="str">
        <f t="shared" si="3"/>
        <v xml:space="preserve">		case "655":			 //Land Taxi Lights</v>
      </c>
      <c r="F25" t="s">
        <v>176</v>
      </c>
    </row>
    <row r="26" spans="1:6">
      <c r="A26">
        <v>716</v>
      </c>
      <c r="B26" t="s">
        <v>129</v>
      </c>
      <c r="C26" t="str">
        <f t="shared" si="1"/>
        <v>{"716","Landing Gear"},</v>
      </c>
      <c r="D26" t="str">
        <f t="shared" si="2"/>
        <v>"716",</v>
      </c>
      <c r="E26" t="str">
        <f t="shared" si="3"/>
        <v xml:space="preserve">		case "716":			 //Landing Gear</v>
      </c>
      <c r="F26" t="s">
        <v>177</v>
      </c>
    </row>
  </sheetData>
  <sortState ref="A110:B135">
    <sortCondition ref="A110:A13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Keycode</vt:lpstr>
      <vt:lpstr>Board Mapping</vt:lpstr>
      <vt:lpstr>swBoard</vt:lpstr>
      <vt:lpstr>Toggle Switches</vt:lpstr>
      <vt:lpstr>'Toggle Switches'!Extract</vt:lpstr>
    </vt:vector>
  </TitlesOfParts>
  <Company>Private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 Larmour</dc:creator>
  <cp:lastModifiedBy>Neil Larmour</cp:lastModifiedBy>
  <dcterms:created xsi:type="dcterms:W3CDTF">2015-02-07T16:30:21Z</dcterms:created>
  <dcterms:modified xsi:type="dcterms:W3CDTF">2017-08-11T09:17:01Z</dcterms:modified>
</cp:coreProperties>
</file>